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eduvaud-my.sharepoint.com/personal/pe04cuw_eduvaud_ch/Documents/CPNV_2025-2026/Semaine.projet.lego/journal/"/>
    </mc:Choice>
  </mc:AlternateContent>
  <xr:revisionPtr revIDLastSave="797" documentId="13_ncr:1_{EFDCB34D-4D99-487E-82C9-6E7A8D14F32E}" xr6:coauthVersionLast="47" xr6:coauthVersionMax="47" xr10:uidLastSave="{98D05A79-A4EC-44D1-88B7-E0903BEB9069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<sst xmlns="http://schemas.openxmlformats.org/spreadsheetml/2006/main" count="119" uniqueCount="60">
  <si>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</si>
  <si>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</si>
  <si>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</si>
  <si>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</si>
  <si>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</si>
  <si>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</si>
  <si>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</si>
  <si>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</si>
  <si>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</si>
  <si>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</si>
  <si>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</si>
  <si>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</si>
  <si>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</si>
  <si>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</si>
  <si>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Réalisation de la planification initiale</t>
  </si>
  <si>
    <t xml:space="preserve">Découverte du Cahier des charges et organisation </t>
  </si>
  <si>
    <t>natan m'a aider pour la branche</t>
  </si>
  <si>
    <t>coder html</t>
  </si>
  <si>
    <t>creation de branche</t>
  </si>
  <si>
    <t>creation de application map</t>
  </si>
  <si>
    <t>apprendre du git</t>
  </si>
  <si>
    <t>jeudi, 15 janvier 2026</t>
  </si>
  <si>
    <t>commencer fenêtre acceuil html</t>
  </si>
  <si>
    <t>faire une application map</t>
  </si>
  <si>
    <t>vendredi, 16 janvier 2026</t>
  </si>
  <si>
    <t>finir application map</t>
  </si>
  <si>
    <t>avec le fichier de que m'a donné édis</t>
  </si>
  <si>
    <t>faie du html ajouter du menu</t>
  </si>
  <si>
    <t>meeting avec le group</t>
  </si>
  <si>
    <t xml:space="preserve">mise à jour de application map </t>
  </si>
  <si>
    <t>dans le balsamiq</t>
  </si>
  <si>
    <t xml:space="preserve">regarder vidéo </t>
  </si>
  <si>
    <t>la vidéo explique les application map</t>
  </si>
  <si>
    <t>fini l'appliction map</t>
  </si>
  <si>
    <t>Lundi, 19 janvier 2026</t>
  </si>
  <si>
    <t>user flow de admin</t>
  </si>
  <si>
    <t>Mardi, 20 janvier 2026</t>
  </si>
  <si>
    <t xml:space="preserve">rendez vous avec groupe </t>
  </si>
  <si>
    <t>parler de différente problem / organisation</t>
  </si>
  <si>
    <t>trouver un template/code couleur pour le site</t>
  </si>
  <si>
    <t>Mercredi, 21 janvier 2026</t>
  </si>
  <si>
    <t>commencer html en suivant l'exemple de la maquette</t>
  </si>
  <si>
    <t>continuer html en suivant l'exemple de la maqutte</t>
  </si>
  <si>
    <t>natan m'a répendu quelque question</t>
  </si>
  <si>
    <t>Jeudi, 22 janvier 2026</t>
  </si>
  <si>
    <t>faire du polishing sur html</t>
  </si>
  <si>
    <t>rendez vous groupe(organiser html)</t>
  </si>
  <si>
    <t>rajouter page de html</t>
  </si>
  <si>
    <t>mise à jour le html avec celui de matéo</t>
  </si>
  <si>
    <t>Vendredi, 23 janvier 2026</t>
  </si>
  <si>
    <t>rendez vous avec le groupe</t>
  </si>
  <si>
    <t>fusionner la page kite avec la version de mateo dans html</t>
  </si>
  <si>
    <t>aprendre les commandes git</t>
  </si>
  <si>
    <t>edis m'a aider pour sa</t>
  </si>
  <si>
    <t>faire du html avec edis pour corriger le menu</t>
  </si>
  <si>
    <t>Mardi, 27 janvier 2026</t>
  </si>
  <si>
    <t>Lundi, 26 janvier 2026</t>
  </si>
  <si>
    <t>congé le après midi</t>
  </si>
  <si>
    <t>faire un pages de html "modifier une pièces"</t>
  </si>
  <si>
    <t>finir les page html et donner à édis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</si>
</sst>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8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  <xf numFmtId="164" fontId="2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8.5</c:v>
                </c:pt>
                <c:pt idx="1">
                  <c:v>3</c:v>
                </c:pt>
                <c:pt idx="2">
                  <c:v>23.3</c:v>
                </c:pt>
                <c:pt idx="3">
                  <c:v>0</c:v>
                </c:pt>
                <c:pt idx="4">
                  <c:v>0.75</c:v>
                </c:pt>
                <c:pt idx="5">
                  <c:v>2</c:v>
                </c:pt>
                <c:pt idx="6">
                  <c:v>2.25</c:v>
                </c:pt>
                <c:pt idx="7">
                  <c:v>3.25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5">
    <sortCondition descending="1" ref="D1:D1048575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70" zoomScaleNormal="70" workbookViewId="0">
      <pane ySplit="1" topLeftCell="A13" activePane="bottomLeft" state="frozen"/>
      <selection pane="bottomLeft" activeCell="D33" sqref="D33"/>
    </sheetView>
  </sheetViews>
  <sheetFormatPr baseColWidth="10" defaultColWidth="9" defaultRowHeight="16.5" x14ac:dyDescent="0.3"/>
  <cols>
    <col min="1" max="1" width="29.75" style="4" customWidth="1"/>
    <col min="2" max="2" width="16.375" style="15" customWidth="1"/>
    <col min="3" max="3" width="19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17">
        <v>46034</v>
      </c>
      <c r="B2" s="14">
        <v>1</v>
      </c>
      <c r="C2" s="11">
        <v>2.5</v>
      </c>
      <c r="D2" s="7" t="s">
        <v>7</v>
      </c>
      <c r="E2" s="8" t="s">
        <v>15</v>
      </c>
      <c r="F2" s="8"/>
    </row>
    <row r="3" spans="1:6" ht="24.95" customHeight="1" x14ac:dyDescent="0.3">
      <c r="A3" s="17">
        <v>46035</v>
      </c>
      <c r="B3" s="14">
        <v>1</v>
      </c>
      <c r="C3" s="11">
        <v>3.5</v>
      </c>
      <c r="D3" s="7" t="s">
        <v>7</v>
      </c>
      <c r="E3" s="8" t="s">
        <v>14</v>
      </c>
      <c r="F3" s="8"/>
    </row>
    <row r="4" spans="1:6" ht="24.95" customHeight="1" x14ac:dyDescent="0.3">
      <c r="A4" s="17">
        <v>46036</v>
      </c>
      <c r="B4" s="14">
        <v>1</v>
      </c>
      <c r="C4" s="11">
        <v>1.5</v>
      </c>
      <c r="D4" s="7" t="s">
        <v>9</v>
      </c>
      <c r="E4" s="8" t="s">
        <v>18</v>
      </c>
      <c r="F4" s="8" t="s">
        <v>16</v>
      </c>
    </row>
    <row r="5" spans="1:6" ht="24.95" customHeight="1" x14ac:dyDescent="0.3">
      <c r="A5" s="17">
        <v>46036</v>
      </c>
      <c r="B5" s="14">
        <v>1</v>
      </c>
      <c r="C5" s="11">
        <v>3.5</v>
      </c>
      <c r="D5" s="7" t="s">
        <v>9</v>
      </c>
      <c r="E5" s="8" t="s">
        <v>17</v>
      </c>
      <c r="F5" s="8"/>
    </row>
    <row r="6" spans="1:6" ht="24.95" customHeight="1" x14ac:dyDescent="0.3">
      <c r="A6" s="17" t="s">
        <v>21</v>
      </c>
      <c r="B6" s="15">
        <v>1</v>
      </c>
      <c r="C6" s="12">
        <v>1.5</v>
      </c>
      <c r="D6" s="7" t="s">
        <v>7</v>
      </c>
      <c r="E6" s="8" t="s">
        <v>20</v>
      </c>
      <c r="F6" s="8"/>
    </row>
    <row r="7" spans="1:6" ht="24.95" customHeight="1" x14ac:dyDescent="0.3">
      <c r="A7" s="17">
        <v>46037</v>
      </c>
      <c r="B7" s="14">
        <v>1</v>
      </c>
      <c r="C7" s="11">
        <v>1.5</v>
      </c>
      <c r="D7" s="7" t="s">
        <v>9</v>
      </c>
      <c r="E7" s="8" t="s">
        <v>19</v>
      </c>
      <c r="F7" s="8"/>
    </row>
    <row r="8" spans="1:6" ht="24.95" customHeight="1" x14ac:dyDescent="0.3">
      <c r="A8" s="17" t="s">
        <v>21</v>
      </c>
      <c r="B8" s="14">
        <v>1</v>
      </c>
      <c r="C8" s="11">
        <v>0.75</v>
      </c>
      <c r="D8" s="7" t="s">
        <v>9</v>
      </c>
      <c r="E8" s="8" t="s">
        <v>22</v>
      </c>
      <c r="F8" s="8"/>
    </row>
    <row r="9" spans="1:6" ht="24.95" customHeight="1" x14ac:dyDescent="0.3">
      <c r="A9" s="17" t="s">
        <v>21</v>
      </c>
      <c r="B9" s="14">
        <v>1</v>
      </c>
      <c r="C9" s="11">
        <v>2</v>
      </c>
      <c r="D9" s="7" t="s">
        <v>9</v>
      </c>
      <c r="E9" s="8" t="s">
        <v>27</v>
      </c>
      <c r="F9" s="8"/>
    </row>
    <row r="10" spans="1:6" ht="24.95" customHeight="1" x14ac:dyDescent="0.3">
      <c r="A10" s="17" t="s">
        <v>21</v>
      </c>
      <c r="B10" s="14">
        <v>1</v>
      </c>
      <c r="C10" s="11">
        <v>2</v>
      </c>
      <c r="D10" s="7" t="s">
        <v>8</v>
      </c>
      <c r="E10" s="8" t="s">
        <v>23</v>
      </c>
      <c r="F10" s="8"/>
    </row>
    <row r="11" spans="1:6" ht="24.95" customHeight="1" x14ac:dyDescent="0.3">
      <c r="A11" s="17" t="s">
        <v>24</v>
      </c>
      <c r="B11" s="14">
        <v>1</v>
      </c>
      <c r="C11" s="11">
        <v>1</v>
      </c>
      <c r="D11" s="7" t="s">
        <v>8</v>
      </c>
      <c r="E11" s="8" t="s">
        <v>25</v>
      </c>
      <c r="F11" s="8"/>
    </row>
    <row r="12" spans="1:6" ht="24.95" customHeight="1" x14ac:dyDescent="0.3">
      <c r="A12" s="17" t="s">
        <v>24</v>
      </c>
      <c r="B12" s="14">
        <v>1</v>
      </c>
      <c r="C12" s="11">
        <v>0.75</v>
      </c>
      <c r="D12" s="7" t="s">
        <v>7</v>
      </c>
      <c r="E12" s="8" t="s">
        <v>20</v>
      </c>
      <c r="F12" s="8" t="s">
        <v>26</v>
      </c>
    </row>
    <row r="13" spans="1:6" ht="24.95" customHeight="1" x14ac:dyDescent="0.3">
      <c r="A13" s="17" t="s">
        <v>24</v>
      </c>
      <c r="B13" s="14">
        <v>1</v>
      </c>
      <c r="C13" s="11">
        <v>1.5</v>
      </c>
      <c r="D13" s="7" t="s">
        <v>13</v>
      </c>
      <c r="E13" s="8" t="s">
        <v>28</v>
      </c>
      <c r="F13" s="8"/>
    </row>
    <row r="14" spans="1:6" ht="24.95" customHeight="1" x14ac:dyDescent="0.3">
      <c r="A14" s="17" t="s">
        <v>24</v>
      </c>
      <c r="B14" s="14">
        <v>1</v>
      </c>
      <c r="C14" s="11">
        <v>0.25</v>
      </c>
      <c r="D14" s="7" t="s">
        <v>7</v>
      </c>
      <c r="E14" s="8" t="s">
        <v>31</v>
      </c>
      <c r="F14" s="8" t="s">
        <v>32</v>
      </c>
    </row>
    <row r="15" spans="1:6" ht="24.95" customHeight="1" x14ac:dyDescent="0.3">
      <c r="A15" s="17" t="s">
        <v>24</v>
      </c>
      <c r="B15" s="14">
        <v>1</v>
      </c>
      <c r="C15" s="11">
        <v>0.5</v>
      </c>
      <c r="D15" s="7" t="s">
        <v>9</v>
      </c>
      <c r="E15" s="8" t="s">
        <v>29</v>
      </c>
      <c r="F15" s="8" t="s">
        <v>30</v>
      </c>
    </row>
    <row r="16" spans="1:6" ht="24.95" customHeight="1" x14ac:dyDescent="0.3">
      <c r="A16" s="17" t="s">
        <v>24</v>
      </c>
      <c r="B16" s="14">
        <v>1</v>
      </c>
      <c r="C16" s="11">
        <v>2.25</v>
      </c>
      <c r="D16" s="7" t="s">
        <v>9</v>
      </c>
      <c r="E16" s="8" t="s">
        <v>33</v>
      </c>
      <c r="F16" s="8"/>
    </row>
    <row r="17" spans="1:6" ht="24.95" customHeight="1" x14ac:dyDescent="0.3">
      <c r="A17" s="17" t="s">
        <v>34</v>
      </c>
      <c r="B17" s="14">
        <v>2</v>
      </c>
      <c r="C17" s="11">
        <v>0.75</v>
      </c>
      <c r="D17" s="7" t="s">
        <v>9</v>
      </c>
      <c r="E17" s="8" t="s">
        <v>35</v>
      </c>
      <c r="F17" s="8"/>
    </row>
    <row r="18" spans="1:6" ht="24.95" customHeight="1" x14ac:dyDescent="0.3">
      <c r="A18" s="17" t="s">
        <v>36</v>
      </c>
      <c r="B18" s="14">
        <v>2</v>
      </c>
      <c r="C18" s="11">
        <v>1.5</v>
      </c>
      <c r="D18" s="7" t="s">
        <v>6</v>
      </c>
      <c r="E18" s="8" t="s">
        <v>37</v>
      </c>
      <c r="F18" s="8" t="s">
        <v>38</v>
      </c>
    </row>
    <row r="19" spans="1:6" ht="24.95" customHeight="1" x14ac:dyDescent="0.3">
      <c r="A19" s="17" t="s">
        <v>36</v>
      </c>
      <c r="B19" s="14">
        <v>2</v>
      </c>
      <c r="C19" s="11">
        <v>0.75</v>
      </c>
      <c r="D19" s="7" t="s">
        <v>13</v>
      </c>
      <c r="E19" s="8" t="s">
        <v>39</v>
      </c>
    </row>
    <row r="20" spans="1:6" ht="24.95" customHeight="1" x14ac:dyDescent="0.3">
      <c r="A20" s="17" t="s">
        <v>40</v>
      </c>
      <c r="B20" s="14">
        <v>2</v>
      </c>
      <c r="C20" s="11">
        <v>2.0499999999999998</v>
      </c>
      <c r="D20" s="7" t="s">
        <v>9</v>
      </c>
      <c r="E20" s="8" t="s">
        <v>41</v>
      </c>
      <c r="F20" s="8"/>
    </row>
    <row r="21" spans="1:6" ht="24.95" customHeight="1" x14ac:dyDescent="0.3">
      <c r="A21" s="17" t="s">
        <v>40</v>
      </c>
      <c r="B21" s="14">
        <v>2</v>
      </c>
      <c r="C21" s="11">
        <v>1.5</v>
      </c>
      <c r="D21" s="7" t="s">
        <v>9</v>
      </c>
      <c r="E21" s="8" t="s">
        <v>42</v>
      </c>
      <c r="F21" s="8" t="s">
        <v>43</v>
      </c>
    </row>
    <row r="22" spans="1:6" ht="24.95" customHeight="1" x14ac:dyDescent="0.3">
      <c r="A22" s="17" t="s">
        <v>44</v>
      </c>
      <c r="B22" s="14">
        <v>2</v>
      </c>
      <c r="C22" s="11">
        <v>0.75</v>
      </c>
      <c r="D22" s="7" t="s">
        <v>9</v>
      </c>
      <c r="E22" s="8" t="s">
        <v>45</v>
      </c>
      <c r="F22" s="8"/>
    </row>
    <row r="23" spans="1:6" ht="24.95" customHeight="1" x14ac:dyDescent="0.3">
      <c r="A23" s="17" t="s">
        <v>44</v>
      </c>
      <c r="B23" s="14">
        <v>2</v>
      </c>
      <c r="C23" s="11">
        <v>0.5</v>
      </c>
      <c r="D23" s="7" t="s">
        <v>6</v>
      </c>
      <c r="E23" s="8" t="s">
        <v>46</v>
      </c>
      <c r="F23" s="8"/>
    </row>
    <row r="24" spans="1:6" ht="24.95" customHeight="1" x14ac:dyDescent="0.3">
      <c r="A24" s="17" t="s">
        <v>44</v>
      </c>
      <c r="B24" s="14">
        <v>2</v>
      </c>
      <c r="C24" s="11">
        <v>1.5</v>
      </c>
      <c r="D24" s="7" t="s">
        <v>9</v>
      </c>
      <c r="E24" s="8" t="s">
        <v>47</v>
      </c>
      <c r="F24" s="8"/>
    </row>
    <row r="25" spans="1:6" ht="24.95" customHeight="1" x14ac:dyDescent="0.3">
      <c r="A25" s="17" t="s">
        <v>44</v>
      </c>
      <c r="B25" s="14">
        <v>2</v>
      </c>
      <c r="C25" s="11">
        <v>1.5</v>
      </c>
      <c r="D25" s="7" t="s">
        <v>9</v>
      </c>
      <c r="E25" s="8" t="s">
        <v>48</v>
      </c>
      <c r="F25" s="8"/>
    </row>
    <row r="26" spans="1:6" ht="24.95" customHeight="1" x14ac:dyDescent="0.3">
      <c r="A26" s="17" t="s">
        <v>49</v>
      </c>
      <c r="B26" s="14">
        <v>2</v>
      </c>
      <c r="C26" s="11">
        <v>1</v>
      </c>
      <c r="D26" s="7" t="s">
        <v>13</v>
      </c>
      <c r="E26" s="8" t="s">
        <v>50</v>
      </c>
      <c r="F26" s="8"/>
    </row>
    <row r="27" spans="1:6" ht="24.95" customHeight="1" x14ac:dyDescent="0.3">
      <c r="A27" s="17" t="s">
        <v>49</v>
      </c>
      <c r="B27" s="14">
        <v>2</v>
      </c>
      <c r="C27" s="11">
        <v>0.75</v>
      </c>
      <c r="D27" s="7" t="s">
        <v>9</v>
      </c>
      <c r="E27" s="8" t="s">
        <v>51</v>
      </c>
      <c r="F27" s="8"/>
    </row>
    <row r="28" spans="1:6" ht="24.95" customHeight="1" x14ac:dyDescent="0.3">
      <c r="A28" s="17" t="s">
        <v>49</v>
      </c>
      <c r="B28" s="14">
        <v>2</v>
      </c>
      <c r="C28" s="11">
        <v>0.75</v>
      </c>
      <c r="D28" s="7" t="s">
        <v>11</v>
      </c>
      <c r="E28" s="8" t="s">
        <v>52</v>
      </c>
      <c r="F28" s="8" t="s">
        <v>53</v>
      </c>
    </row>
    <row r="29" spans="1:6" ht="24.95" customHeight="1" x14ac:dyDescent="0.3">
      <c r="A29" s="17" t="s">
        <v>49</v>
      </c>
      <c r="B29" s="14">
        <v>2</v>
      </c>
      <c r="C29" s="11">
        <v>0.75</v>
      </c>
      <c r="D29" s="7" t="s">
        <v>9</v>
      </c>
      <c r="E29" s="8" t="s">
        <v>54</v>
      </c>
      <c r="F29" s="8"/>
    </row>
    <row r="30" spans="1:6" ht="24.95" customHeight="1" x14ac:dyDescent="0.3">
      <c r="A30" s="17" t="s">
        <v>56</v>
      </c>
      <c r="B30" s="15">
        <v>3</v>
      </c>
      <c r="C30" s="11">
        <v>2.25</v>
      </c>
      <c r="D30" s="7" t="s">
        <v>12</v>
      </c>
      <c r="E30" s="8" t="s">
        <v>57</v>
      </c>
      <c r="F30" s="8"/>
    </row>
    <row r="31" spans="1:6" ht="24.95" customHeight="1" x14ac:dyDescent="0.3">
      <c r="A31" s="17" t="s">
        <v>55</v>
      </c>
      <c r="B31" s="14">
        <v>3</v>
      </c>
      <c r="C31" s="11">
        <v>1.5</v>
      </c>
      <c r="D31" s="7" t="s">
        <v>9</v>
      </c>
      <c r="E31" s="8" t="s">
        <v>58</v>
      </c>
      <c r="F31" s="8"/>
    </row>
    <row r="32" spans="1:6" ht="24.95" customHeight="1" x14ac:dyDescent="0.3">
      <c r="A32" s="17" t="s">
        <v>55</v>
      </c>
      <c r="B32" s="14">
        <v>3</v>
      </c>
      <c r="C32" s="11">
        <v>0.25</v>
      </c>
      <c r="D32" s="7" t="s">
        <v>9</v>
      </c>
      <c r="E32" s="8" t="s">
        <v>59</v>
      </c>
      <c r="F32" s="8"/>
    </row>
    <row r="33" spans="1:6" ht="24.95" customHeight="1" x14ac:dyDescent="0.3">
      <c r="A33" s="6"/>
      <c r="B33" s="14"/>
      <c r="C33" s="11"/>
      <c r="D33" s="7"/>
      <c r="E33" s="8"/>
      <c r="F33" s="8"/>
    </row>
    <row r="34" spans="1:6" ht="24.95" customHeight="1" x14ac:dyDescent="0.3">
      <c r="A34" s="6"/>
      <c r="B34" s="14"/>
      <c r="C34" s="11"/>
      <c r="D34" s="7"/>
      <c r="E34" s="8"/>
      <c r="F34" s="8"/>
    </row>
    <row r="35" spans="1:6" ht="24.95" customHeight="1" x14ac:dyDescent="0.3">
      <c r="A35" s="6"/>
      <c r="B35" s="14"/>
      <c r="C35" s="11"/>
      <c r="D35" s="7"/>
      <c r="E35" s="8"/>
      <c r="F35" s="8"/>
    </row>
    <row r="36" spans="1:6" ht="24.95" customHeight="1" x14ac:dyDescent="0.3">
      <c r="A36" s="6"/>
      <c r="B36" s="14"/>
      <c r="C36" s="11"/>
      <c r="D36" s="7"/>
      <c r="E36" s="8"/>
      <c r="F36" s="8"/>
    </row>
    <row r="37" spans="1:6" ht="24.95" customHeight="1" x14ac:dyDescent="0.3">
      <c r="A37" s="6"/>
      <c r="B37" s="14"/>
      <c r="C37" s="11"/>
      <c r="D37" s="7"/>
      <c r="E37" s="8"/>
      <c r="F37" s="8"/>
    </row>
    <row r="38" spans="1:6" ht="24.95" customHeight="1" x14ac:dyDescent="0.3">
      <c r="A38" s="6"/>
      <c r="B38" s="14"/>
      <c r="C38" s="11"/>
      <c r="D38" s="7"/>
      <c r="E38" s="8"/>
      <c r="F38" s="8"/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</sheetData>
  <phoneticPr fontId="3" type="noConversion"/>
  <dataValidations count="2">
    <dataValidation type="whole" allowBlank="1" showInputMessage="1" showErrorMessage="1" sqref="B1:B5 B7:B29 B31:B300" xr:uid="{E1FCDE41-ACF1-4A68-9483-C062BB428146}">
      <formula1>1</formula1>
      <formula2>100</formula2>
    </dataValidation>
    <dataValidation type="decimal" allowBlank="1" showInputMessage="1" showErrorMessage="1" sqref="C1:C5 C7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D7:D300 D1:D5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D8" sqref="D8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SUMIF(Journal!$D$2:$D$160,Tableau13[[#This Row],[Type]],Journal!$C$2:$C$160)</f>
        <v>8.5</v>
      </c>
    </row>
    <row r="3" spans="1:2" ht="24.95" customHeight="1" x14ac:dyDescent="0.3">
      <c r="A3" s="16" t="s">
        <v>8</v>
      </c>
      <c r="B3" s="11">
        <f>SUMIF(Journal!$D$2:$D$160,Tableau13[[#This Row],[Type]],Journal!$C$2:$C$160)</f>
        <v>3</v>
      </c>
    </row>
    <row r="4" spans="1:2" ht="24.95" customHeight="1" x14ac:dyDescent="0.3">
      <c r="A4" s="16" t="s">
        <v>9</v>
      </c>
      <c r="B4" s="11">
        <f>SUMIF(Journal!$D$2:$D$160,Tableau13[[#This Row],[Type]],Journal!$C$2:$C$160)</f>
        <v>23.3</v>
      </c>
    </row>
    <row r="5" spans="1:2" ht="24.95" customHeight="1" x14ac:dyDescent="0.3">
      <c r="A5" s="16" t="s">
        <v>10</v>
      </c>
      <c r="B5" s="11">
        <f>SUMIF(Journal!$D$2:$D$160,Tableau13[[#This Row],[Type]],Journal!$C$2:$C$160)</f>
        <v>0</v>
      </c>
    </row>
    <row r="6" spans="1:2" ht="24.95" customHeight="1" x14ac:dyDescent="0.3">
      <c r="A6" s="16" t="s">
        <v>11</v>
      </c>
      <c r="B6" s="11">
        <f>SUMIF(Journal!$D$2:$D$160,Tableau13[[#This Row],[Type]],Journal!$C$2:$C$160)</f>
        <v>0.75</v>
      </c>
    </row>
    <row r="7" spans="1:2" ht="24.95" customHeight="1" x14ac:dyDescent="0.3">
      <c r="A7" s="16" t="s">
        <v>6</v>
      </c>
      <c r="B7" s="11">
        <f>SUMIF(Journal!$D$2:$D$160,Tableau13[[#This Row],[Type]],Journal!$C$2:$C$160)</f>
        <v>2</v>
      </c>
    </row>
    <row r="8" spans="1:2" ht="24.95" customHeight="1" x14ac:dyDescent="0.3">
      <c r="A8" s="16" t="s">
        <v>12</v>
      </c>
      <c r="B8" s="11">
        <f>SUMIF(Journal!$D$2:$D$160,Tableau13[[#This Row],[Type]],Journal!$C$2:$C$160)</f>
        <v>2.25</v>
      </c>
    </row>
    <row r="9" spans="1:2" ht="24.95" customHeight="1" x14ac:dyDescent="0.3">
      <c r="A9" s="16" t="s">
        <v>13</v>
      </c>
      <c r="B9" s="11">
        <f>SUMIF(Journal!$D$2:$D$160,Tableau13[[#This Row],[Type]],Journal!$C$2:$C$160)</f>
        <v>3.25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M22" sqref="I22:M32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Léonard Weber</cp:lastModifiedBy>
  <cp:revision/>
  <dcterms:created xsi:type="dcterms:W3CDTF">2015-06-05T18:19:34Z</dcterms:created>
  <dcterms:modified xsi:type="dcterms:W3CDTF">2026-01-27T11:26:44Z</dcterms:modified>
  <cp:category/>
  <cp:contentStatus/>
</cp:coreProperties>
</file>